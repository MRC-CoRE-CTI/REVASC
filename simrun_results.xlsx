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MRCCTU_Methodology\1_Design\Projects\High-risk REVASC trial design\Code\"/>
    </mc:Choice>
  </mc:AlternateContent>
  <xr:revisionPtr revIDLastSave="0" documentId="13_ncr:1_{60137063-71BD-4387-983E-C04CAC9F57BF}" xr6:coauthVersionLast="47" xr6:coauthVersionMax="47" xr10:uidLastSave="{00000000-0000-0000-0000-000000000000}"/>
  <bookViews>
    <workbookView xWindow="-14505" yWindow="0" windowWidth="14610" windowHeight="15585" xr2:uid="{045008B1-AFEF-4271-87AC-2D8EDD8FA0EA}"/>
  </bookViews>
  <sheets>
    <sheet name="simrun2 shape=0.48" sheetId="3" r:id="rId1"/>
    <sheet name="simrun1 shape=1.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3" l="1"/>
  <c r="N33" i="3"/>
  <c r="N31" i="3"/>
  <c r="N30" i="3"/>
  <c r="N28" i="3"/>
  <c r="N27" i="3"/>
  <c r="N25" i="3"/>
  <c r="N24" i="3"/>
  <c r="N22" i="3"/>
  <c r="N21" i="3"/>
  <c r="N19" i="3"/>
  <c r="N18" i="3"/>
  <c r="N16" i="3"/>
  <c r="N15" i="3"/>
  <c r="N13" i="3"/>
  <c r="N12" i="3"/>
  <c r="N10" i="3"/>
  <c r="N9" i="3"/>
  <c r="N7" i="3"/>
  <c r="N6" i="3"/>
</calcChain>
</file>

<file path=xl/sharedStrings.xml><?xml version="1.0" encoding="utf-8"?>
<sst xmlns="http://schemas.openxmlformats.org/spreadsheetml/2006/main" count="120" uniqueCount="38">
  <si>
    <t>DGM</t>
  </si>
  <si>
    <t>borrow</t>
  </si>
  <si>
    <t>Cl1</t>
  </si>
  <si>
    <t>Cl2</t>
  </si>
  <si>
    <t>Cl3</t>
  </si>
  <si>
    <t>Cl4</t>
  </si>
  <si>
    <t>Cl5</t>
  </si>
  <si>
    <t>Cl6</t>
  </si>
  <si>
    <t>Cl7</t>
  </si>
  <si>
    <t>fwer</t>
  </si>
  <si>
    <t>avepower</t>
  </si>
  <si>
    <t>wtavepower</t>
  </si>
  <si>
    <t>separate</t>
  </si>
  <si>
    <t>PARTIAL ALTERNATIVE 1: ONLY SMALLEST CLUSTER (2) IS NULL</t>
  </si>
  <si>
    <t>PARTIAL ALTERNATIVE 2: ONLY LARGEST CLUSTER (4) IS NULL</t>
  </si>
  <si>
    <t>PARTIAL ALTERNATIVE 3: ONLY SMALLEST CLUSTER (2) IS NON-NULL</t>
  </si>
  <si>
    <t>PARTIAL ALTERNATIVE 4: ONLY LARGEST CLUSTER (4) IS NON-NULL</t>
  </si>
  <si>
    <t>PARTIAL ALTERNATIVE 5: THREE LARGEST CLUSTERS (5,1,4) ARE NULL</t>
  </si>
  <si>
    <t>PARTIAL ALTERNATIVE 6: THREE LARGEST CLUSTERS (5,1,4) ARE NON-NULL</t>
  </si>
  <si>
    <t>GLOBAL NULL</t>
  </si>
  <si>
    <t>GLOBAL ALTERNATIVE</t>
  </si>
  <si>
    <t>N_tot</t>
  </si>
  <si>
    <t>NA</t>
  </si>
  <si>
    <t>N=3000 gets us close to the desired average power</t>
  </si>
  <si>
    <t>We are robust to small clusters being null</t>
  </si>
  <si>
    <t>We are less robust to one large cluster being null</t>
  </si>
  <si>
    <t>and useless if many large clusters are null</t>
  </si>
  <si>
    <t>We are robust to 4 small clusters being null</t>
  </si>
  <si>
    <t>borrowing analysis loses power in some cases</t>
  </si>
  <si>
    <t>comments</t>
  </si>
  <si>
    <t>Analysis</t>
  </si>
  <si>
    <t>NaN</t>
  </si>
  <si>
    <t>MCSE</t>
  </si>
  <si>
    <t>5000 reps</t>
  </si>
  <si>
    <t>Run 31/3-1/4/2026</t>
  </si>
  <si>
    <t>File simrun.R, output in simrun2.log</t>
  </si>
  <si>
    <t>FWER</t>
  </si>
  <si>
    <t>Weighted average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</si>
</sst>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1" applyNumberFormat="1" applyFont="1" applyAlignment="1">
      <alignment horizontal="right"/>
    </xf>
    <xf numFmtId="164" fontId="0" fillId="0" borderId="0" xfId="1" applyNumberFormat="1" applyFont="1" applyAlignment="1">
      <alignment horizontal="right"/>
    </xf>
    <xf numFmtId="0" fontId="0" fillId="0" borderId="0" xfId="0" applyAlignment="1">
      <alignment horizontal="left"/>
    </xf>
    <xf numFmtId="164" fontId="0" fillId="0" borderId="0" xfId="1" applyNumberFormat="1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4BA3-E51E-4B34-8EAA-93A8CE79B259}">
  <dimension ref="A1:O3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22" sqref="H22"/>
    </sheetView>
  </sheetViews>
  <sheetFormatPr defaultRowHeight="14.5" x14ac:dyDescent="0.35"/>
  <cols>
    <col min="1" max="1" width="11.1796875" customWidth="1"/>
    <col min="2" max="2" width="5.26953125" bestFit="1" customWidth="1"/>
    <col min="4" max="11" width="8.7265625" style="1"/>
    <col min="12" max="12" width="0" style="1" hidden="1" customWidth="1"/>
    <col min="13" max="13" width="10.90625" style="1" bestFit="1" customWidth="1"/>
  </cols>
  <sheetData>
    <row r="1" spans="1:15" x14ac:dyDescent="0.35">
      <c r="A1" t="s">
        <v>0</v>
      </c>
      <c r="B1" t="s">
        <v>21</v>
      </c>
      <c r="C1" t="s">
        <v>30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36</v>
      </c>
      <c r="L1" s="1" t="s">
        <v>10</v>
      </c>
      <c r="M1" s="1" t="s">
        <v>37</v>
      </c>
      <c r="N1" s="1" t="s">
        <v>32</v>
      </c>
      <c r="O1" s="1" t="s">
        <v>29</v>
      </c>
    </row>
    <row r="2" spans="1:15" s="3" customFormat="1" x14ac:dyDescent="0.35">
      <c r="A2" s="5" t="s">
        <v>19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x14ac:dyDescent="0.35">
      <c r="B3">
        <v>1500</v>
      </c>
      <c r="C3" t="s">
        <v>12</v>
      </c>
      <c r="D3" s="2">
        <v>2.5999999999999999E-2</v>
      </c>
      <c r="E3" s="2">
        <v>2.3400000000000001E-2</v>
      </c>
      <c r="F3" s="2">
        <v>2.4799999999999999E-2</v>
      </c>
      <c r="G3" s="2">
        <v>2.64E-2</v>
      </c>
      <c r="H3" s="2">
        <v>2.1600000000000001E-2</v>
      </c>
      <c r="I3" s="2">
        <v>2.5000000000000001E-2</v>
      </c>
      <c r="J3" s="2">
        <v>2.3400000000000001E-2</v>
      </c>
      <c r="K3" s="2">
        <v>0.15640000000000001</v>
      </c>
      <c r="L3" s="2" t="s">
        <v>31</v>
      </c>
      <c r="M3" s="2" t="s">
        <v>31</v>
      </c>
    </row>
    <row r="4" spans="1:15" x14ac:dyDescent="0.35">
      <c r="C4" t="s">
        <v>1</v>
      </c>
      <c r="D4" s="2">
        <v>1.06E-2</v>
      </c>
      <c r="E4" s="2">
        <v>4.0000000000000002E-4</v>
      </c>
      <c r="F4" s="2">
        <v>5.9999999999999995E-4</v>
      </c>
      <c r="G4" s="2">
        <v>1.2800000000000001E-2</v>
      </c>
      <c r="H4" s="2">
        <v>6.4000000000000003E-3</v>
      </c>
      <c r="I4" s="2">
        <v>4.4000000000000003E-3</v>
      </c>
      <c r="J4" s="2">
        <v>2.2000000000000001E-3</v>
      </c>
      <c r="K4" s="2">
        <v>2.7400000000000001E-2</v>
      </c>
      <c r="L4" s="2" t="s">
        <v>31</v>
      </c>
      <c r="M4" s="2" t="s">
        <v>31</v>
      </c>
    </row>
    <row r="5" spans="1:15" s="3" customFormat="1" x14ac:dyDescent="0.35">
      <c r="A5" s="5" t="s">
        <v>20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5" x14ac:dyDescent="0.35">
      <c r="B6">
        <v>1500</v>
      </c>
      <c r="C6" t="s">
        <v>12</v>
      </c>
      <c r="D6" s="2">
        <v>0.56240000000000001</v>
      </c>
      <c r="E6" s="2">
        <v>9.8400000000000001E-2</v>
      </c>
      <c r="F6" s="2">
        <v>0.1148</v>
      </c>
      <c r="G6" s="2">
        <v>0.58640000000000003</v>
      </c>
      <c r="H6" s="2">
        <v>0.35780000000000001</v>
      </c>
      <c r="I6" s="2">
        <v>0.27</v>
      </c>
      <c r="J6" s="2">
        <v>0.159</v>
      </c>
      <c r="K6" s="2">
        <v>0</v>
      </c>
      <c r="L6" s="2">
        <v>0.30697140000000001</v>
      </c>
      <c r="M6" s="2">
        <v>0.42787399999999998</v>
      </c>
      <c r="N6" s="4">
        <f>SQRT(M6*(1-M6)/5000)</f>
        <v>6.9971114057730995E-3</v>
      </c>
    </row>
    <row r="7" spans="1:15" x14ac:dyDescent="0.35">
      <c r="C7" t="s">
        <v>1</v>
      </c>
      <c r="D7" s="2">
        <v>0.83099999999999996</v>
      </c>
      <c r="E7" s="2">
        <v>0.42320000000000002</v>
      </c>
      <c r="F7" s="2">
        <v>0.45400000000000001</v>
      </c>
      <c r="G7" s="2">
        <v>0.83199999999999996</v>
      </c>
      <c r="H7" s="2">
        <v>0.70299999999999996</v>
      </c>
      <c r="I7" s="2">
        <v>0.63819999999999999</v>
      </c>
      <c r="J7" s="2">
        <v>0.52159999999999995</v>
      </c>
      <c r="K7" s="2">
        <v>0</v>
      </c>
      <c r="L7" s="2">
        <v>0.629</v>
      </c>
      <c r="M7" s="2">
        <v>0.728796</v>
      </c>
      <c r="N7" s="4">
        <f t="shared" ref="N7" si="0">SQRT(M7*(1-M7)/5000)</f>
        <v>6.2873267830453987E-3</v>
      </c>
    </row>
    <row r="8" spans="1:15" x14ac:dyDescent="0.35">
      <c r="D8" s="2"/>
      <c r="E8" s="2"/>
      <c r="F8" s="2"/>
      <c r="G8" s="2"/>
      <c r="H8" s="2"/>
      <c r="I8" s="2"/>
      <c r="J8" s="2"/>
      <c r="K8" s="2"/>
      <c r="L8" s="2"/>
      <c r="M8" s="2"/>
    </row>
    <row r="9" spans="1:15" x14ac:dyDescent="0.35">
      <c r="B9">
        <v>2000</v>
      </c>
      <c r="C9" t="s">
        <v>12</v>
      </c>
      <c r="D9" s="2">
        <v>0.68</v>
      </c>
      <c r="E9" s="2">
        <v>0.123</v>
      </c>
      <c r="F9" s="2">
        <v>0.13780000000000001</v>
      </c>
      <c r="G9" s="2">
        <v>0.70879999999999999</v>
      </c>
      <c r="H9" s="2">
        <v>0.44800000000000001</v>
      </c>
      <c r="I9" s="2">
        <v>0.36399999999999999</v>
      </c>
      <c r="J9" s="2">
        <v>0.19339999999999999</v>
      </c>
      <c r="K9" s="2">
        <v>0</v>
      </c>
      <c r="L9" s="2">
        <v>0.3792857</v>
      </c>
      <c r="M9" s="2">
        <v>0.52451400000000004</v>
      </c>
      <c r="N9" s="4">
        <f>SQRT(M9*(1-M9)/5000)</f>
        <v>7.06256417746416E-3</v>
      </c>
    </row>
    <row r="10" spans="1:15" x14ac:dyDescent="0.35">
      <c r="C10" t="s">
        <v>1</v>
      </c>
      <c r="D10" s="2">
        <v>0.89880000000000004</v>
      </c>
      <c r="E10" s="2">
        <v>0.54179999999999995</v>
      </c>
      <c r="F10" s="2">
        <v>0.58020000000000005</v>
      </c>
      <c r="G10" s="2">
        <v>0.90900000000000003</v>
      </c>
      <c r="H10" s="2">
        <v>0.80159999999999998</v>
      </c>
      <c r="I10" s="2">
        <v>0.749</v>
      </c>
      <c r="J10" s="2">
        <v>0.63739999999999997</v>
      </c>
      <c r="K10" s="2">
        <v>0</v>
      </c>
      <c r="L10" s="2">
        <v>0.73111429999999999</v>
      </c>
      <c r="M10" s="2">
        <v>0.81827799999999995</v>
      </c>
      <c r="N10" s="4">
        <f t="shared" ref="N10" si="1">SQRT(M10*(1-M10)/5000)</f>
        <v>5.4534230482514382E-3</v>
      </c>
    </row>
    <row r="11" spans="1:15" x14ac:dyDescent="0.35"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5" x14ac:dyDescent="0.35">
      <c r="B12">
        <v>2500</v>
      </c>
      <c r="C12" t="s">
        <v>12</v>
      </c>
      <c r="D12" s="2">
        <v>0.78</v>
      </c>
      <c r="E12" s="2">
        <v>0.1462</v>
      </c>
      <c r="F12" s="2">
        <v>0.17080000000000001</v>
      </c>
      <c r="G12" s="2">
        <v>0.78359999999999996</v>
      </c>
      <c r="H12" s="2">
        <v>0.54820000000000002</v>
      </c>
      <c r="I12" s="2">
        <v>0.432</v>
      </c>
      <c r="J12" s="2">
        <v>0.24540000000000001</v>
      </c>
      <c r="K12" s="2">
        <v>0</v>
      </c>
      <c r="L12" s="2">
        <v>0.4437429</v>
      </c>
      <c r="M12" s="2">
        <v>0.60538599999999998</v>
      </c>
      <c r="N12" s="4">
        <f>SQRT(M12*(1-M12)/5000)</f>
        <v>6.9122180377068554E-3</v>
      </c>
    </row>
    <row r="13" spans="1:15" x14ac:dyDescent="0.35">
      <c r="C13" t="s">
        <v>1</v>
      </c>
      <c r="D13" s="2">
        <v>0.94499999999999995</v>
      </c>
      <c r="E13" s="2">
        <v>0.63239999999999996</v>
      </c>
      <c r="F13" s="2">
        <v>0.66320000000000001</v>
      </c>
      <c r="G13" s="2">
        <v>0.94799999999999995</v>
      </c>
      <c r="H13" s="2">
        <v>0.86839999999999995</v>
      </c>
      <c r="I13" s="2">
        <v>0.82040000000000002</v>
      </c>
      <c r="J13" s="2">
        <v>0.71740000000000004</v>
      </c>
      <c r="K13" s="2">
        <v>0</v>
      </c>
      <c r="L13" s="2">
        <v>0.79925710000000005</v>
      </c>
      <c r="M13" s="2">
        <v>0.87541999999999998</v>
      </c>
      <c r="N13" s="4">
        <f t="shared" ref="N13" si="2">SQRT(M13*(1-M13)/5000)</f>
        <v>4.6703281169528125E-3</v>
      </c>
    </row>
    <row r="14" spans="1:15" x14ac:dyDescent="0.35"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5" x14ac:dyDescent="0.35">
      <c r="B15">
        <v>3000</v>
      </c>
      <c r="C15" t="s">
        <v>12</v>
      </c>
      <c r="D15" s="2">
        <v>0.85040000000000004</v>
      </c>
      <c r="E15" s="2">
        <v>0.17119999999999999</v>
      </c>
      <c r="F15" s="2">
        <v>0.21299999999999999</v>
      </c>
      <c r="G15" s="2">
        <v>0.86860000000000004</v>
      </c>
      <c r="H15" s="2">
        <v>0.61680000000000001</v>
      </c>
      <c r="I15" s="2">
        <v>0.49</v>
      </c>
      <c r="J15" s="2">
        <v>0.2878</v>
      </c>
      <c r="K15" s="2">
        <v>0</v>
      </c>
      <c r="L15" s="2">
        <v>0.49968570000000001</v>
      </c>
      <c r="M15" s="2">
        <v>0.67327199999999998</v>
      </c>
      <c r="N15" s="4">
        <f>SQRT(M15*(1-M15)/5000)</f>
        <v>6.6329000296401269E-3</v>
      </c>
    </row>
    <row r="16" spans="1:15" x14ac:dyDescent="0.35">
      <c r="C16" t="s">
        <v>1</v>
      </c>
      <c r="D16" s="2">
        <v>0.96819999999999995</v>
      </c>
      <c r="E16" s="2">
        <v>0.69820000000000004</v>
      </c>
      <c r="F16" s="2">
        <v>0.73380000000000001</v>
      </c>
      <c r="G16" s="2">
        <v>0.96960000000000002</v>
      </c>
      <c r="H16" s="2">
        <v>0.90820000000000001</v>
      </c>
      <c r="I16" s="2">
        <v>0.85860000000000003</v>
      </c>
      <c r="J16" s="2">
        <v>0.77300000000000002</v>
      </c>
      <c r="K16" s="2">
        <v>0</v>
      </c>
      <c r="L16" s="2">
        <v>0.8442286</v>
      </c>
      <c r="M16" s="2">
        <v>0.90969</v>
      </c>
      <c r="N16" s="4">
        <f t="shared" ref="N16" si="3">SQRT(M16*(1-M16)/5000)</f>
        <v>4.0534948846643439E-3</v>
      </c>
      <c r="O16" t="s">
        <v>23</v>
      </c>
    </row>
    <row r="17" spans="1:15" s="3" customFormat="1" x14ac:dyDescent="0.35">
      <c r="A17" s="5" t="s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/>
    </row>
    <row r="18" spans="1:15" x14ac:dyDescent="0.35">
      <c r="B18">
        <v>3000</v>
      </c>
      <c r="C18" t="s">
        <v>12</v>
      </c>
      <c r="D18" s="2">
        <v>0.8488</v>
      </c>
      <c r="E18" s="2">
        <v>1.9599999999999999E-2</v>
      </c>
      <c r="F18" s="2">
        <v>0.2064</v>
      </c>
      <c r="G18" s="2">
        <v>0.86539999999999995</v>
      </c>
      <c r="H18" s="2">
        <v>0.62919999999999998</v>
      </c>
      <c r="I18" s="2">
        <v>0.49340000000000001</v>
      </c>
      <c r="J18" s="2">
        <v>0.29859999999999998</v>
      </c>
      <c r="K18" s="2">
        <v>1.9599999999999999E-2</v>
      </c>
      <c r="L18" s="2">
        <v>0.55696670000000004</v>
      </c>
      <c r="M18" s="2">
        <v>0.69644379999999995</v>
      </c>
      <c r="N18" s="4">
        <f>SQRT(M18*(1-M18)/5000)</f>
        <v>6.5024585110796361E-3</v>
      </c>
    </row>
    <row r="19" spans="1:15" x14ac:dyDescent="0.35">
      <c r="C19" t="s">
        <v>1</v>
      </c>
      <c r="D19" s="2">
        <v>0.96040000000000003</v>
      </c>
      <c r="E19" s="2">
        <v>0.33660000000000001</v>
      </c>
      <c r="F19" s="2">
        <v>0.64939999999999998</v>
      </c>
      <c r="G19" s="2">
        <v>0.96360000000000001</v>
      </c>
      <c r="H19" s="2">
        <v>0.89080000000000004</v>
      </c>
      <c r="I19" s="2">
        <v>0.83960000000000001</v>
      </c>
      <c r="J19" s="2">
        <v>0.7208</v>
      </c>
      <c r="K19" s="2">
        <v>0.33660000000000001</v>
      </c>
      <c r="L19" s="2">
        <v>0.83743330000000005</v>
      </c>
      <c r="M19" s="2">
        <v>0.90065830000000002</v>
      </c>
      <c r="N19" s="4">
        <f t="shared" ref="N19" si="4">SQRT(M19*(1-M19)/5000)</f>
        <v>4.2301992066830609E-3</v>
      </c>
      <c r="O19" t="s">
        <v>24</v>
      </c>
    </row>
    <row r="20" spans="1:15" s="3" customFormat="1" x14ac:dyDescent="0.35">
      <c r="A20" s="5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/>
    </row>
    <row r="21" spans="1:15" x14ac:dyDescent="0.35">
      <c r="B21">
        <v>3000</v>
      </c>
      <c r="C21" t="s">
        <v>12</v>
      </c>
      <c r="D21" s="2">
        <v>0.8448</v>
      </c>
      <c r="E21" s="2">
        <v>0.17419999999999999</v>
      </c>
      <c r="F21" s="2">
        <v>0.19719999999999999</v>
      </c>
      <c r="G21" s="2">
        <v>2.5000000000000001E-2</v>
      </c>
      <c r="H21" s="2">
        <v>0.63080000000000003</v>
      </c>
      <c r="I21" s="2">
        <v>0.49880000000000002</v>
      </c>
      <c r="J21" s="2">
        <v>0.28420000000000001</v>
      </c>
      <c r="K21" s="2">
        <v>2.5000000000000001E-2</v>
      </c>
      <c r="L21" s="2">
        <v>0.43833329999999998</v>
      </c>
      <c r="M21" s="2">
        <v>0.60341639999999996</v>
      </c>
      <c r="N21" s="4">
        <f>SQRT(M21*(1-M21)/5000)</f>
        <v>6.9181651933303816E-3</v>
      </c>
    </row>
    <row r="22" spans="1:15" x14ac:dyDescent="0.35">
      <c r="C22" t="s">
        <v>1</v>
      </c>
      <c r="D22" s="2">
        <v>0.92620000000000002</v>
      </c>
      <c r="E22" s="2">
        <v>0.32300000000000001</v>
      </c>
      <c r="F22" s="2">
        <v>0.36480000000000001</v>
      </c>
      <c r="G22" s="2">
        <v>0.127</v>
      </c>
      <c r="H22" s="2">
        <v>0.78759999999999997</v>
      </c>
      <c r="I22" s="2">
        <v>0.68679999999999997</v>
      </c>
      <c r="J22" s="2">
        <v>0.4894</v>
      </c>
      <c r="K22" s="2">
        <v>0.127</v>
      </c>
      <c r="L22" s="2">
        <v>0.59630000000000005</v>
      </c>
      <c r="M22" s="2">
        <v>0.74200549999999998</v>
      </c>
      <c r="N22" s="4">
        <f t="shared" ref="N22" si="5">SQRT(M22*(1-M22)/5000)</f>
        <v>6.1876221275987756E-3</v>
      </c>
      <c r="O22" t="s">
        <v>25</v>
      </c>
    </row>
    <row r="23" spans="1:15" s="3" customFormat="1" x14ac:dyDescent="0.35">
      <c r="A23" s="5" t="s">
        <v>15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/>
    </row>
    <row r="24" spans="1:15" x14ac:dyDescent="0.35">
      <c r="B24">
        <v>3000</v>
      </c>
      <c r="C24" t="s">
        <v>12</v>
      </c>
      <c r="D24" s="2">
        <v>2.52E-2</v>
      </c>
      <c r="E24" s="2">
        <v>0.17499999999999999</v>
      </c>
      <c r="F24" s="2">
        <v>2.24E-2</v>
      </c>
      <c r="G24" s="2">
        <v>2.2200000000000001E-2</v>
      </c>
      <c r="H24" s="2">
        <v>2.4799999999999999E-2</v>
      </c>
      <c r="I24" s="2">
        <v>2.64E-2</v>
      </c>
      <c r="J24" s="2">
        <v>2.3400000000000001E-2</v>
      </c>
      <c r="K24" s="2">
        <v>0.13420000000000001</v>
      </c>
      <c r="L24" s="2">
        <v>0.17499999999999999</v>
      </c>
      <c r="M24" s="2">
        <v>0.17499999999999999</v>
      </c>
      <c r="N24" s="4">
        <f>SQRT(M24*(1-M24)/5000)</f>
        <v>5.3735463150511691E-3</v>
      </c>
      <c r="O24" t="s">
        <v>26</v>
      </c>
    </row>
    <row r="25" spans="1:15" x14ac:dyDescent="0.35">
      <c r="C25" t="s">
        <v>1</v>
      </c>
      <c r="D25" s="2">
        <v>1.6400000000000001E-2</v>
      </c>
      <c r="E25" s="2">
        <v>6.7999999999999996E-3</v>
      </c>
      <c r="F25" s="2">
        <v>2E-3</v>
      </c>
      <c r="G25" s="2">
        <v>1.66E-2</v>
      </c>
      <c r="H25" s="2">
        <v>9.5999999999999992E-3</v>
      </c>
      <c r="I25" s="2">
        <v>5.5999999999999999E-3</v>
      </c>
      <c r="J25" s="2">
        <v>2.2000000000000001E-3</v>
      </c>
      <c r="K25" s="2">
        <v>4.1799999999999997E-2</v>
      </c>
      <c r="L25" s="2">
        <v>6.7999999999999996E-3</v>
      </c>
      <c r="M25" s="2">
        <v>6.7999999999999996E-3</v>
      </c>
      <c r="N25" s="4">
        <f t="shared" ref="N25" si="6">SQRT(M25*(1-M25)/5000)</f>
        <v>1.1622185680843339E-3</v>
      </c>
    </row>
    <row r="26" spans="1:15" s="3" customFormat="1" x14ac:dyDescent="0.35">
      <c r="A26" s="5" t="s">
        <v>16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/>
    </row>
    <row r="27" spans="1:15" x14ac:dyDescent="0.35">
      <c r="B27">
        <v>3000</v>
      </c>
      <c r="C27" t="s">
        <v>12</v>
      </c>
      <c r="D27" s="2">
        <v>2.64E-2</v>
      </c>
      <c r="E27" s="2">
        <v>2.4400000000000002E-2</v>
      </c>
      <c r="F27" s="2">
        <v>2.3199999999999998E-2</v>
      </c>
      <c r="G27" s="2">
        <v>0.87819999999999998</v>
      </c>
      <c r="H27" s="2">
        <v>2.6599999999999999E-2</v>
      </c>
      <c r="I27" s="2">
        <v>2.7199999999999998E-2</v>
      </c>
      <c r="J27" s="2">
        <v>2.64E-2</v>
      </c>
      <c r="K27" s="2">
        <v>0.14560000000000001</v>
      </c>
      <c r="L27" s="2">
        <v>0.87819999999999998</v>
      </c>
      <c r="M27" s="2">
        <v>0.87819999999999998</v>
      </c>
      <c r="N27" s="4">
        <f>SQRT(M27*(1-M27)/5000)</f>
        <v>4.6252515607261846E-3</v>
      </c>
    </row>
    <row r="28" spans="1:15" x14ac:dyDescent="0.35">
      <c r="C28" t="s">
        <v>1</v>
      </c>
      <c r="D28" s="2">
        <v>3.2599999999999997E-2</v>
      </c>
      <c r="E28" s="2">
        <v>8.3999999999999995E-3</v>
      </c>
      <c r="F28" s="2">
        <v>8.0000000000000002E-3</v>
      </c>
      <c r="G28" s="2">
        <v>0.71919999999999995</v>
      </c>
      <c r="H28" s="2">
        <v>2.86E-2</v>
      </c>
      <c r="I28" s="2">
        <v>2.24E-2</v>
      </c>
      <c r="J28" s="2">
        <v>1.46E-2</v>
      </c>
      <c r="K28" s="2">
        <v>9.2399999999999996E-2</v>
      </c>
      <c r="L28" s="2">
        <v>0.71919999999999995</v>
      </c>
      <c r="M28" s="2">
        <v>0.71919999999999995</v>
      </c>
      <c r="N28" s="4">
        <f t="shared" ref="N28" si="7">SQRT(M28*(1-M28)/5000)</f>
        <v>6.3553341375572068E-3</v>
      </c>
      <c r="O28" t="s">
        <v>28</v>
      </c>
    </row>
    <row r="29" spans="1:15" s="3" customFormat="1" x14ac:dyDescent="0.35">
      <c r="A29" s="5" t="s">
        <v>17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/>
    </row>
    <row r="30" spans="1:15" x14ac:dyDescent="0.35">
      <c r="B30">
        <v>3000</v>
      </c>
      <c r="C30" t="s">
        <v>12</v>
      </c>
      <c r="D30" s="2">
        <v>2.7199999999999998E-2</v>
      </c>
      <c r="E30" s="2">
        <v>0.17380000000000001</v>
      </c>
      <c r="F30" s="2">
        <v>0.19839999999999999</v>
      </c>
      <c r="G30" s="2">
        <v>2.4400000000000002E-2</v>
      </c>
      <c r="H30" s="2">
        <v>2.2200000000000001E-2</v>
      </c>
      <c r="I30" s="2">
        <v>0.50719999999999998</v>
      </c>
      <c r="J30" s="2">
        <v>0.28760000000000002</v>
      </c>
      <c r="K30" s="2">
        <v>7.1400000000000005E-2</v>
      </c>
      <c r="L30" s="2">
        <v>0.29175000000000001</v>
      </c>
      <c r="M30" s="2">
        <v>0.32868330000000001</v>
      </c>
      <c r="N30" s="4">
        <f>SQRT(M30*(1-M30)/5000)</f>
        <v>6.6430503279910503E-3</v>
      </c>
    </row>
    <row r="31" spans="1:15" x14ac:dyDescent="0.35">
      <c r="C31" t="s">
        <v>1</v>
      </c>
      <c r="D31" s="2">
        <v>4.7800000000000002E-2</v>
      </c>
      <c r="E31" s="2">
        <v>7.5600000000000001E-2</v>
      </c>
      <c r="F31" s="2">
        <v>9.9000000000000005E-2</v>
      </c>
      <c r="G31" s="2">
        <v>4.8000000000000001E-2</v>
      </c>
      <c r="H31" s="2">
        <v>4.6199999999999998E-2</v>
      </c>
      <c r="I31" s="2">
        <v>0.376</v>
      </c>
      <c r="J31" s="2">
        <v>0.1804</v>
      </c>
      <c r="K31" s="2">
        <v>0.1192</v>
      </c>
      <c r="L31" s="2">
        <v>0.18275</v>
      </c>
      <c r="M31" s="2">
        <v>0.21593329999999999</v>
      </c>
      <c r="N31" s="4">
        <f t="shared" ref="N31" si="8">SQRT(M31*(1-M31)/5000)</f>
        <v>5.8190396106421209E-3</v>
      </c>
    </row>
    <row r="32" spans="1:15" s="3" customFormat="1" x14ac:dyDescent="0.35">
      <c r="A32" s="5" t="s">
        <v>18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/>
    </row>
    <row r="33" spans="1:15" x14ac:dyDescent="0.35">
      <c r="B33">
        <v>3000</v>
      </c>
      <c r="C33" t="s">
        <v>12</v>
      </c>
      <c r="D33" s="2">
        <v>0.8498</v>
      </c>
      <c r="E33" s="2">
        <v>2.4400000000000002E-2</v>
      </c>
      <c r="F33" s="2">
        <v>2.24E-2</v>
      </c>
      <c r="G33" s="2">
        <v>0.86260000000000003</v>
      </c>
      <c r="H33" s="2">
        <v>0.61719999999999997</v>
      </c>
      <c r="I33" s="2">
        <v>2.2200000000000001E-2</v>
      </c>
      <c r="J33" s="2">
        <v>2.18E-2</v>
      </c>
      <c r="K33" s="2">
        <v>8.7800000000000003E-2</v>
      </c>
      <c r="L33" s="2">
        <v>0.77653329999999998</v>
      </c>
      <c r="M33" s="2">
        <v>0.78089470000000005</v>
      </c>
      <c r="N33" s="4">
        <f>SQRT(M33*(1-M33)/5000)</f>
        <v>5.8497549950730409E-3</v>
      </c>
    </row>
    <row r="34" spans="1:15" x14ac:dyDescent="0.35">
      <c r="C34" t="s">
        <v>1</v>
      </c>
      <c r="D34" s="2">
        <v>0.91339999999999999</v>
      </c>
      <c r="E34" s="2">
        <v>7.5399999999999995E-2</v>
      </c>
      <c r="F34" s="2">
        <v>7.7399999999999997E-2</v>
      </c>
      <c r="G34" s="2">
        <v>0.91659999999999997</v>
      </c>
      <c r="H34" s="2">
        <v>0.73599999999999999</v>
      </c>
      <c r="I34" s="2">
        <v>0.10340000000000001</v>
      </c>
      <c r="J34" s="2">
        <v>9.9599999999999994E-2</v>
      </c>
      <c r="K34" s="2">
        <v>0.23139999999999999</v>
      </c>
      <c r="L34" s="2">
        <v>0.85533329999999996</v>
      </c>
      <c r="M34" s="2">
        <v>0.85851580000000005</v>
      </c>
      <c r="N34" s="4">
        <f t="shared" ref="N34" si="9">SQRT(M34*(1-M34)/5000)</f>
        <v>4.9288217892384783E-3</v>
      </c>
      <c r="O34" t="s">
        <v>27</v>
      </c>
    </row>
    <row r="37" spans="1:15" x14ac:dyDescent="0.35">
      <c r="A37" t="s">
        <v>33</v>
      </c>
    </row>
    <row r="38" spans="1:15" x14ac:dyDescent="0.35">
      <c r="A38" t="s">
        <v>34</v>
      </c>
    </row>
    <row r="39" spans="1:15" x14ac:dyDescent="0.35">
      <c r="A39" t="s">
        <v>35</v>
      </c>
    </row>
  </sheetData>
  <mergeCells count="8">
    <mergeCell ref="A29:M29"/>
    <mergeCell ref="A32:M32"/>
    <mergeCell ref="A2:M2"/>
    <mergeCell ref="A5:M5"/>
    <mergeCell ref="A17:M17"/>
    <mergeCell ref="A20:M20"/>
    <mergeCell ref="A23:M23"/>
    <mergeCell ref="A26:M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182C-3260-411B-A2EF-EA2D8D83154B}">
  <dimension ref="A1:O3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1" sqref="M1:M1048576"/>
    </sheetView>
  </sheetViews>
  <sheetFormatPr defaultRowHeight="14.5" x14ac:dyDescent="0.35"/>
  <cols>
    <col min="1" max="1" width="11.1796875" customWidth="1"/>
    <col min="2" max="2" width="5.26953125" bestFit="1" customWidth="1"/>
    <col min="4" max="11" width="8.7265625" style="1"/>
    <col min="12" max="12" width="0" style="1" hidden="1" customWidth="1"/>
    <col min="13" max="13" width="10.90625" style="1" bestFit="1" customWidth="1"/>
  </cols>
  <sheetData>
    <row r="1" spans="1:15" x14ac:dyDescent="0.35">
      <c r="A1" t="s">
        <v>0</v>
      </c>
      <c r="B1" t="s">
        <v>21</v>
      </c>
      <c r="C1" t="s">
        <v>30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O1" s="1" t="s">
        <v>29</v>
      </c>
    </row>
    <row r="2" spans="1:15" s="3" customFormat="1" x14ac:dyDescent="0.35">
      <c r="A2" s="5" t="s">
        <v>19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x14ac:dyDescent="0.35">
      <c r="B3">
        <v>1500</v>
      </c>
      <c r="C3" t="s">
        <v>12</v>
      </c>
      <c r="D3" s="2">
        <v>2.64E-2</v>
      </c>
      <c r="E3" s="2">
        <v>2.2200000000000001E-2</v>
      </c>
      <c r="F3" s="2">
        <v>2.4799999999999999E-2</v>
      </c>
      <c r="G3" s="2">
        <v>2.7400000000000001E-2</v>
      </c>
      <c r="H3" s="2">
        <v>2.64E-2</v>
      </c>
      <c r="I3" s="2">
        <v>2.4400000000000002E-2</v>
      </c>
      <c r="J3" s="2">
        <v>2.3E-2</v>
      </c>
      <c r="K3" s="2">
        <v>0.16200000000000001</v>
      </c>
      <c r="L3" s="2" t="s">
        <v>22</v>
      </c>
      <c r="M3" s="2" t="s">
        <v>22</v>
      </c>
    </row>
    <row r="4" spans="1:15" x14ac:dyDescent="0.35">
      <c r="C4" t="s">
        <v>1</v>
      </c>
      <c r="D4" s="2">
        <v>1.2E-2</v>
      </c>
      <c r="E4" s="2">
        <v>8.0000000000000004E-4</v>
      </c>
      <c r="F4" s="2">
        <v>5.9999999999999995E-4</v>
      </c>
      <c r="G4" s="2">
        <v>1.18E-2</v>
      </c>
      <c r="H4" s="2">
        <v>7.4000000000000003E-3</v>
      </c>
      <c r="I4" s="2">
        <v>4.4000000000000003E-3</v>
      </c>
      <c r="J4" s="2">
        <v>2.2000000000000001E-3</v>
      </c>
      <c r="K4" s="2">
        <v>2.76E-2</v>
      </c>
      <c r="L4" s="2" t="s">
        <v>22</v>
      </c>
      <c r="M4" s="2" t="s">
        <v>22</v>
      </c>
    </row>
    <row r="5" spans="1:15" s="3" customFormat="1" x14ac:dyDescent="0.35">
      <c r="A5" s="5" t="s">
        <v>20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5" x14ac:dyDescent="0.35">
      <c r="B6">
        <v>1500</v>
      </c>
      <c r="C6" t="s">
        <v>12</v>
      </c>
      <c r="D6" s="2">
        <v>0.52200000000000002</v>
      </c>
      <c r="E6" s="2">
        <v>8.6199999999999999E-2</v>
      </c>
      <c r="F6" s="2">
        <v>0.10580000000000001</v>
      </c>
      <c r="G6" s="2">
        <v>0.53879999999999995</v>
      </c>
      <c r="H6" s="2">
        <v>0.33800000000000002</v>
      </c>
      <c r="I6" s="2">
        <v>0.25740000000000002</v>
      </c>
      <c r="J6" s="2">
        <v>0.157</v>
      </c>
      <c r="K6" s="2" t="s">
        <v>22</v>
      </c>
      <c r="L6" s="2">
        <v>0.28645710000000002</v>
      </c>
      <c r="M6" s="2">
        <v>0.39790799999999998</v>
      </c>
    </row>
    <row r="7" spans="1:15" x14ac:dyDescent="0.35">
      <c r="C7" t="s">
        <v>1</v>
      </c>
      <c r="D7" s="2">
        <v>0.78680000000000005</v>
      </c>
      <c r="E7" s="2">
        <v>0.379</v>
      </c>
      <c r="F7" s="2">
        <v>0.4138</v>
      </c>
      <c r="G7" s="2">
        <v>0.80359999999999998</v>
      </c>
      <c r="H7" s="2">
        <v>0.6552</v>
      </c>
      <c r="I7" s="2">
        <v>0.6048</v>
      </c>
      <c r="J7" s="2">
        <v>0.48499999999999999</v>
      </c>
      <c r="K7" s="2" t="s">
        <v>22</v>
      </c>
      <c r="L7" s="2">
        <v>0.58974289999999996</v>
      </c>
      <c r="M7" s="2">
        <v>0.68959000000000004</v>
      </c>
    </row>
    <row r="8" spans="1:15" x14ac:dyDescent="0.35">
      <c r="D8" s="2"/>
      <c r="E8" s="2"/>
      <c r="F8" s="2"/>
      <c r="G8" s="2"/>
      <c r="H8" s="2"/>
      <c r="I8" s="2"/>
      <c r="J8" s="2"/>
      <c r="K8" s="2"/>
      <c r="L8" s="2"/>
      <c r="M8" s="2"/>
    </row>
    <row r="9" spans="1:15" x14ac:dyDescent="0.35">
      <c r="B9">
        <v>2000</v>
      </c>
      <c r="C9" t="s">
        <v>12</v>
      </c>
      <c r="D9" s="2">
        <v>0.64739999999999998</v>
      </c>
      <c r="E9" s="2">
        <v>0.1244</v>
      </c>
      <c r="F9" s="2">
        <v>0.13039999999999999</v>
      </c>
      <c r="G9" s="2">
        <v>0.6704</v>
      </c>
      <c r="H9" s="2">
        <v>0.42299999999999999</v>
      </c>
      <c r="I9" s="2">
        <v>0.31740000000000002</v>
      </c>
      <c r="J9" s="2">
        <v>0.19059999999999999</v>
      </c>
      <c r="K9" s="2" t="s">
        <v>22</v>
      </c>
      <c r="L9" s="2">
        <v>0.35765710000000001</v>
      </c>
      <c r="M9" s="2">
        <v>0.49527399999999999</v>
      </c>
    </row>
    <row r="10" spans="1:15" x14ac:dyDescent="0.35">
      <c r="C10" t="s">
        <v>1</v>
      </c>
      <c r="D10" s="2">
        <v>0.87460000000000004</v>
      </c>
      <c r="E10" s="2">
        <v>0.50360000000000005</v>
      </c>
      <c r="F10" s="2">
        <v>0.53059999999999996</v>
      </c>
      <c r="G10" s="2">
        <v>0.89280000000000004</v>
      </c>
      <c r="H10" s="2">
        <v>0.77</v>
      </c>
      <c r="I10" s="2">
        <v>0.71299999999999997</v>
      </c>
      <c r="J10" s="2">
        <v>0.59179999999999999</v>
      </c>
      <c r="K10" s="2" t="s">
        <v>22</v>
      </c>
      <c r="L10" s="2">
        <v>0.69662860000000004</v>
      </c>
      <c r="M10" s="2">
        <v>0.790246</v>
      </c>
    </row>
    <row r="11" spans="1:15" x14ac:dyDescent="0.35"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5" x14ac:dyDescent="0.35">
      <c r="B12">
        <v>2500</v>
      </c>
      <c r="C12" t="s">
        <v>12</v>
      </c>
      <c r="D12" s="2">
        <v>0.74360000000000004</v>
      </c>
      <c r="E12" s="2">
        <v>0.12959999999999999</v>
      </c>
      <c r="F12" s="2">
        <v>0.1472</v>
      </c>
      <c r="G12" s="2">
        <v>0.7712</v>
      </c>
      <c r="H12" s="2">
        <v>0.505</v>
      </c>
      <c r="I12" s="2">
        <v>0.40079999999999999</v>
      </c>
      <c r="J12" s="2">
        <v>0.23139999999999999</v>
      </c>
      <c r="K12" s="2" t="s">
        <v>22</v>
      </c>
      <c r="L12" s="2">
        <v>0.41839999999999999</v>
      </c>
      <c r="M12" s="2">
        <v>0.57698199999999999</v>
      </c>
    </row>
    <row r="13" spans="1:15" x14ac:dyDescent="0.35">
      <c r="C13" t="s">
        <v>1</v>
      </c>
      <c r="D13" s="2">
        <v>0.9234</v>
      </c>
      <c r="E13" s="2">
        <v>0.58679999999999999</v>
      </c>
      <c r="F13" s="2">
        <v>0.62139999999999995</v>
      </c>
      <c r="G13" s="2">
        <v>0.93640000000000001</v>
      </c>
      <c r="H13" s="2">
        <v>0.83299999999999996</v>
      </c>
      <c r="I13" s="2">
        <v>0.7984</v>
      </c>
      <c r="J13" s="2">
        <v>0.68679999999999997</v>
      </c>
      <c r="K13" s="2" t="s">
        <v>22</v>
      </c>
      <c r="L13" s="2">
        <v>0.7694571</v>
      </c>
      <c r="M13" s="2">
        <v>0.85055000000000003</v>
      </c>
    </row>
    <row r="14" spans="1:15" x14ac:dyDescent="0.35"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5" x14ac:dyDescent="0.35">
      <c r="B15">
        <v>3000</v>
      </c>
      <c r="C15" t="s">
        <v>12</v>
      </c>
      <c r="D15" s="2">
        <v>0.81599999999999995</v>
      </c>
      <c r="E15" s="2">
        <v>0.1502</v>
      </c>
      <c r="F15" s="2">
        <v>0.1792</v>
      </c>
      <c r="G15" s="2">
        <v>0.83220000000000005</v>
      </c>
      <c r="H15" s="2">
        <v>0.57940000000000003</v>
      </c>
      <c r="I15" s="2">
        <v>0.45700000000000002</v>
      </c>
      <c r="J15" s="2">
        <v>0.26140000000000002</v>
      </c>
      <c r="K15" s="2" t="s">
        <v>22</v>
      </c>
      <c r="L15" s="2">
        <v>0.46791430000000001</v>
      </c>
      <c r="M15" s="2">
        <v>0.63871</v>
      </c>
    </row>
    <row r="16" spans="1:15" x14ac:dyDescent="0.35">
      <c r="C16" t="s">
        <v>1</v>
      </c>
      <c r="D16" s="2">
        <v>0.95540000000000003</v>
      </c>
      <c r="E16" s="2">
        <v>0.66859999999999997</v>
      </c>
      <c r="F16" s="2">
        <v>0.68</v>
      </c>
      <c r="G16" s="2">
        <v>0.95820000000000005</v>
      </c>
      <c r="H16" s="2">
        <v>0.88859999999999995</v>
      </c>
      <c r="I16" s="2">
        <v>0.84540000000000004</v>
      </c>
      <c r="J16" s="2">
        <v>0.75819999999999999</v>
      </c>
      <c r="K16" s="2" t="s">
        <v>22</v>
      </c>
      <c r="L16" s="2">
        <v>0.82205709999999999</v>
      </c>
      <c r="M16" s="2">
        <v>0.89236800000000005</v>
      </c>
      <c r="O16" t="s">
        <v>23</v>
      </c>
    </row>
    <row r="17" spans="1:15" s="3" customFormat="1" x14ac:dyDescent="0.35">
      <c r="A17" s="5" t="s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5" x14ac:dyDescent="0.35">
      <c r="B18">
        <v>3000</v>
      </c>
      <c r="C18" t="s">
        <v>12</v>
      </c>
      <c r="D18" s="2">
        <v>0.80900000000000005</v>
      </c>
      <c r="E18" s="2">
        <v>2.3599999999999999E-2</v>
      </c>
      <c r="F18" s="2">
        <v>0.18279999999999999</v>
      </c>
      <c r="G18" s="2">
        <v>0.83</v>
      </c>
      <c r="H18" s="2">
        <v>0.55500000000000005</v>
      </c>
      <c r="I18" s="2">
        <v>0.46160000000000001</v>
      </c>
      <c r="J18" s="2">
        <v>0.26179999999999998</v>
      </c>
      <c r="K18" s="2">
        <v>2.3599999999999999E-2</v>
      </c>
      <c r="L18" s="2">
        <v>0.51670000000000005</v>
      </c>
      <c r="M18" s="2">
        <v>0.6512</v>
      </c>
    </row>
    <row r="19" spans="1:15" x14ac:dyDescent="0.35">
      <c r="C19" t="s">
        <v>1</v>
      </c>
      <c r="D19" s="2">
        <v>0.94440000000000002</v>
      </c>
      <c r="E19" s="2">
        <v>0.31940000000000002</v>
      </c>
      <c r="F19" s="2">
        <v>0.61319999999999997</v>
      </c>
      <c r="G19" s="2">
        <v>0.9516</v>
      </c>
      <c r="H19" s="2">
        <v>0.85899999999999999</v>
      </c>
      <c r="I19" s="2">
        <v>0.79900000000000004</v>
      </c>
      <c r="J19" s="2">
        <v>0.6996</v>
      </c>
      <c r="K19" s="2">
        <v>0.31940000000000002</v>
      </c>
      <c r="L19" s="2">
        <v>0.81113329999999995</v>
      </c>
      <c r="M19" s="2">
        <v>0.87799380000000005</v>
      </c>
      <c r="O19" t="s">
        <v>24</v>
      </c>
    </row>
    <row r="20" spans="1:15" s="3" customFormat="1" x14ac:dyDescent="0.35">
      <c r="A20" s="5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5" x14ac:dyDescent="0.35">
      <c r="B21">
        <v>3000</v>
      </c>
      <c r="C21" t="s">
        <v>12</v>
      </c>
      <c r="D21" s="2">
        <v>0.81799999999999995</v>
      </c>
      <c r="E21" s="2">
        <v>0.16439999999999999</v>
      </c>
      <c r="F21" s="2">
        <v>0.17760000000000001</v>
      </c>
      <c r="G21" s="2">
        <v>2.7E-2</v>
      </c>
      <c r="H21" s="2">
        <v>0.57720000000000005</v>
      </c>
      <c r="I21" s="2">
        <v>0.46079999999999999</v>
      </c>
      <c r="J21" s="2">
        <v>0.26939999999999997</v>
      </c>
      <c r="K21" s="2">
        <v>2.7E-2</v>
      </c>
      <c r="L21" s="2">
        <v>0.41123330000000002</v>
      </c>
      <c r="M21" s="2">
        <v>0.56876990000000005</v>
      </c>
    </row>
    <row r="22" spans="1:15" x14ac:dyDescent="0.35">
      <c r="C22" t="s">
        <v>1</v>
      </c>
      <c r="D22" s="2">
        <v>0.89700000000000002</v>
      </c>
      <c r="E22" s="2">
        <v>0.29620000000000002</v>
      </c>
      <c r="F22" s="2">
        <v>0.3402</v>
      </c>
      <c r="G22" s="2">
        <v>0.1298</v>
      </c>
      <c r="H22" s="2">
        <v>0.74980000000000002</v>
      </c>
      <c r="I22" s="2">
        <v>0.65620000000000001</v>
      </c>
      <c r="J22" s="2">
        <v>0.45479999999999998</v>
      </c>
      <c r="K22" s="2">
        <v>0.1298</v>
      </c>
      <c r="L22" s="2">
        <v>0.56569999999999998</v>
      </c>
      <c r="M22" s="2">
        <v>0.70994520000000005</v>
      </c>
      <c r="O22" t="s">
        <v>25</v>
      </c>
    </row>
    <row r="23" spans="1:15" s="3" customFormat="1" x14ac:dyDescent="0.35">
      <c r="A23" s="5" t="s">
        <v>15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5" x14ac:dyDescent="0.35">
      <c r="B24">
        <v>3000</v>
      </c>
      <c r="C24" t="s">
        <v>12</v>
      </c>
      <c r="D24" s="2">
        <v>2.5999999999999999E-2</v>
      </c>
      <c r="E24" s="2">
        <v>0.16980000000000001</v>
      </c>
      <c r="F24" s="2">
        <v>2.6200000000000001E-2</v>
      </c>
      <c r="G24" s="2">
        <v>2.9000000000000001E-2</v>
      </c>
      <c r="H24" s="2">
        <v>2.52E-2</v>
      </c>
      <c r="I24" s="2">
        <v>2.58E-2</v>
      </c>
      <c r="J24" s="2">
        <v>2.64E-2</v>
      </c>
      <c r="K24" s="2">
        <v>0.1482</v>
      </c>
      <c r="L24" s="2">
        <v>0.16980000000000001</v>
      </c>
      <c r="M24" s="2">
        <v>0.16980000000000001</v>
      </c>
      <c r="O24" t="s">
        <v>26</v>
      </c>
    </row>
    <row r="25" spans="1:15" x14ac:dyDescent="0.35">
      <c r="C25" t="s">
        <v>1</v>
      </c>
      <c r="D25" s="2">
        <v>1.44E-2</v>
      </c>
      <c r="E25" s="2">
        <v>4.0000000000000001E-3</v>
      </c>
      <c r="F25" s="2">
        <v>1.8E-3</v>
      </c>
      <c r="G25" s="2">
        <v>1.44E-2</v>
      </c>
      <c r="H25" s="2">
        <v>1.14E-2</v>
      </c>
      <c r="I25" s="2">
        <v>8.8000000000000005E-3</v>
      </c>
      <c r="J25" s="2">
        <v>4.1999999999999997E-3</v>
      </c>
      <c r="K25" s="2">
        <v>4.1000000000000002E-2</v>
      </c>
      <c r="L25" s="2">
        <v>4.0000000000000001E-3</v>
      </c>
      <c r="M25" s="2">
        <v>4.0000000000000001E-3</v>
      </c>
    </row>
    <row r="26" spans="1:15" s="3" customFormat="1" x14ac:dyDescent="0.35">
      <c r="A26" s="5" t="s">
        <v>16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5" x14ac:dyDescent="0.35">
      <c r="B27">
        <v>3000</v>
      </c>
      <c r="C27" t="s">
        <v>12</v>
      </c>
      <c r="D27" s="2">
        <v>2.4799999999999999E-2</v>
      </c>
      <c r="E27" s="2">
        <v>2.46E-2</v>
      </c>
      <c r="F27" s="2">
        <v>2.0799999999999999E-2</v>
      </c>
      <c r="G27" s="2">
        <v>0.83379999999999999</v>
      </c>
      <c r="H27" s="2">
        <v>2.5399999999999999E-2</v>
      </c>
      <c r="I27" s="2">
        <v>2.2200000000000001E-2</v>
      </c>
      <c r="J27" s="2">
        <v>2.5399999999999999E-2</v>
      </c>
      <c r="K27" s="2">
        <v>0.13420000000000001</v>
      </c>
      <c r="L27" s="2">
        <v>0.83379999999999999</v>
      </c>
      <c r="M27" s="2">
        <v>0.83379999999999999</v>
      </c>
    </row>
    <row r="28" spans="1:15" x14ac:dyDescent="0.35">
      <c r="C28" t="s">
        <v>1</v>
      </c>
      <c r="D28" s="2">
        <v>3.9800000000000002E-2</v>
      </c>
      <c r="E28" s="2">
        <v>6.6E-3</v>
      </c>
      <c r="F28" s="2">
        <v>8.2000000000000007E-3</v>
      </c>
      <c r="G28" s="2">
        <v>0.65959999999999996</v>
      </c>
      <c r="H28" s="2">
        <v>2.9600000000000001E-2</v>
      </c>
      <c r="I28" s="2">
        <v>2.6200000000000001E-2</v>
      </c>
      <c r="J28" s="2">
        <v>1.2200000000000001E-2</v>
      </c>
      <c r="K28" s="2">
        <v>9.6199999999999994E-2</v>
      </c>
      <c r="L28" s="2">
        <v>0.65959999999999996</v>
      </c>
      <c r="M28" s="2">
        <v>0.65959999999999996</v>
      </c>
      <c r="O28" t="s">
        <v>28</v>
      </c>
    </row>
    <row r="29" spans="1:15" s="3" customFormat="1" x14ac:dyDescent="0.35">
      <c r="A29" s="5" t="s">
        <v>17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5" x14ac:dyDescent="0.35">
      <c r="B30">
        <v>3000</v>
      </c>
      <c r="C30" t="s">
        <v>12</v>
      </c>
      <c r="D30" s="2">
        <v>2.5600000000000001E-2</v>
      </c>
      <c r="E30" s="2">
        <v>0.15540000000000001</v>
      </c>
      <c r="F30" s="2">
        <v>0.1782</v>
      </c>
      <c r="G30" s="2">
        <v>2.4400000000000002E-2</v>
      </c>
      <c r="H30" s="2">
        <v>2.3E-2</v>
      </c>
      <c r="I30" s="2">
        <v>0.46039999999999998</v>
      </c>
      <c r="J30" s="2">
        <v>0.26700000000000002</v>
      </c>
      <c r="K30" s="2">
        <v>7.1999999999999995E-2</v>
      </c>
      <c r="L30" s="2">
        <v>0.26524999999999999</v>
      </c>
      <c r="M30" s="2">
        <v>0.29872500000000002</v>
      </c>
    </row>
    <row r="31" spans="1:15" x14ac:dyDescent="0.35">
      <c r="C31" t="s">
        <v>1</v>
      </c>
      <c r="D31" s="2">
        <v>4.7E-2</v>
      </c>
      <c r="E31" s="2">
        <v>5.7799999999999997E-2</v>
      </c>
      <c r="F31" s="2">
        <v>7.3599999999999999E-2</v>
      </c>
      <c r="G31" s="2">
        <v>4.7800000000000002E-2</v>
      </c>
      <c r="H31" s="2">
        <v>3.5799999999999998E-2</v>
      </c>
      <c r="I31" s="2">
        <v>0.31659999999999999</v>
      </c>
      <c r="J31" s="2">
        <v>0.1492</v>
      </c>
      <c r="K31" s="2">
        <v>0.11119999999999999</v>
      </c>
      <c r="L31" s="2">
        <v>0.14929999999999999</v>
      </c>
      <c r="M31" s="2">
        <v>0.17784169999999999</v>
      </c>
    </row>
    <row r="32" spans="1:15" s="3" customFormat="1" x14ac:dyDescent="0.35">
      <c r="A32" s="5" t="s">
        <v>18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2:15" x14ac:dyDescent="0.35">
      <c r="B33">
        <v>3000</v>
      </c>
      <c r="C33" t="s">
        <v>12</v>
      </c>
      <c r="D33" s="2">
        <v>0.80759999999999998</v>
      </c>
      <c r="E33" s="2">
        <v>2.24E-2</v>
      </c>
      <c r="F33" s="2">
        <v>2.52E-2</v>
      </c>
      <c r="G33" s="2">
        <v>0.83620000000000005</v>
      </c>
      <c r="H33" s="2">
        <v>0.56579999999999997</v>
      </c>
      <c r="I33" s="2">
        <v>2.7E-2</v>
      </c>
      <c r="J33" s="2">
        <v>2.7799999999999998E-2</v>
      </c>
      <c r="K33" s="2">
        <v>9.8599999999999993E-2</v>
      </c>
      <c r="L33" s="2">
        <v>0.73653329999999995</v>
      </c>
      <c r="M33" s="2">
        <v>0.74140260000000002</v>
      </c>
    </row>
    <row r="34" spans="2:15" x14ac:dyDescent="0.35">
      <c r="C34" t="s">
        <v>1</v>
      </c>
      <c r="D34" s="2">
        <v>0.88</v>
      </c>
      <c r="E34" s="2">
        <v>7.0599999999999996E-2</v>
      </c>
      <c r="F34" s="2">
        <v>7.8799999999999995E-2</v>
      </c>
      <c r="G34" s="2">
        <v>0.88859999999999995</v>
      </c>
      <c r="H34" s="2">
        <v>0.68079999999999996</v>
      </c>
      <c r="I34" s="2">
        <v>0.1052</v>
      </c>
      <c r="J34" s="2">
        <v>8.8400000000000006E-2</v>
      </c>
      <c r="K34" s="2">
        <v>0.2288</v>
      </c>
      <c r="L34" s="2">
        <v>0.81646669999999999</v>
      </c>
      <c r="M34" s="2">
        <v>0.82015000000000005</v>
      </c>
      <c r="O34" t="s">
        <v>27</v>
      </c>
    </row>
  </sheetData>
  <mergeCells count="8">
    <mergeCell ref="A26:M26"/>
    <mergeCell ref="A29:M29"/>
    <mergeCell ref="A32:M32"/>
    <mergeCell ref="A2:M2"/>
    <mergeCell ref="A5:M5"/>
    <mergeCell ref="A17:M17"/>
    <mergeCell ref="A20:M20"/>
    <mergeCell ref="A23:M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simrun2 shape=0.48</vt:lpstr>
      <vt:lpstr>simrun1 shape=1.1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White</dc:creator>
  <cp:lastModifiedBy>Ian White</cp:lastModifiedBy>
  <dcterms:created xsi:type="dcterms:W3CDTF">2026-03-30T12:50:18Z</dcterms:created>
  <dcterms:modified xsi:type="dcterms:W3CDTF">2026-04-01T08:08:01Z</dcterms:modified>
</cp:coreProperties>
</file>